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Charts" sheetId="2" r:id="rId6"/>
  </sheets>
  <definedNames>
    <definedName hidden="1" localSheetId="0" name="_xlnm._FilterDatabase">Data!$B$3:$W$25</definedName>
  </definedNames>
  <calcPr/>
</workbook>
</file>

<file path=xl/sharedStrings.xml><?xml version="1.0" encoding="utf-8"?>
<sst xmlns="http://schemas.openxmlformats.org/spreadsheetml/2006/main" count="48" uniqueCount="33">
  <si>
    <t>Percentage of times PR(&gt;F) C(Music):C(ErrorInj) &lt; 0.05</t>
  </si>
  <si>
    <t>Rhythm</t>
  </si>
  <si>
    <t>Harmony</t>
  </si>
  <si>
    <t>Melody</t>
  </si>
  <si>
    <t>Wave</t>
  </si>
  <si>
    <t>Participant 1</t>
  </si>
  <si>
    <t>Participant 2</t>
  </si>
  <si>
    <t>Participant 3</t>
  </si>
  <si>
    <t>Participant 4</t>
  </si>
  <si>
    <t>Participant 5</t>
  </si>
  <si>
    <t>Participant 6</t>
  </si>
  <si>
    <t>Alpha_AF7</t>
  </si>
  <si>
    <t>Alpha_AF8</t>
  </si>
  <si>
    <t>Alpha_TP10</t>
  </si>
  <si>
    <t>Alpha_TP9</t>
  </si>
  <si>
    <t>Beta_AF7</t>
  </si>
  <si>
    <t>Beta_AF8</t>
  </si>
  <si>
    <t>Beta_TP10</t>
  </si>
  <si>
    <t>Beta_TP9</t>
  </si>
  <si>
    <t>Delta_AF7</t>
  </si>
  <si>
    <t>Delta_AF8</t>
  </si>
  <si>
    <t>Delta_TP10</t>
  </si>
  <si>
    <t>Delta_TP9</t>
  </si>
  <si>
    <t>Gamma_AF7</t>
  </si>
  <si>
    <t>Gamma_AF8</t>
  </si>
  <si>
    <t>Gamma_TP10</t>
  </si>
  <si>
    <t>Gamma_TP9</t>
  </si>
  <si>
    <t>Theta_AF7</t>
  </si>
  <si>
    <t>Theta_AF8</t>
  </si>
  <si>
    <t>Theta_TP10</t>
  </si>
  <si>
    <t>Theta_TP9</t>
  </si>
  <si>
    <t>mode=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</si>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</sst>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ptos"/>
    </font>
    <font>
      <sz val="15.0"/>
      <color theme="1"/>
      <name val="Aptos"/>
    </font>
    <font>
      <sz val="12.0"/>
      <color theme="1"/>
      <name val="Aptos"/>
    </font>
    <font>
      <sz val="15.0"/>
      <color theme="1"/>
      <name val="Arial"/>
    </font>
    <font>
      <sz val="13.0"/>
      <color theme="1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4" fillId="0" fontId="5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 vertical="bottom"/>
    </xf>
    <xf borderId="4" fillId="0" fontId="7" numFmtId="10" xfId="0" applyAlignment="1" applyBorder="1" applyFont="1" applyNumberFormat="1">
      <alignment readingOrder="0" vertical="bottom"/>
    </xf>
    <xf borderId="4" fillId="0" fontId="4" numFmtId="10" xfId="0" applyAlignment="1" applyBorder="1" applyFont="1" applyNumberFormat="1">
      <alignment readingOrder="0"/>
    </xf>
    <xf borderId="0" fillId="0" fontId="4" numFmtId="10" xfId="0" applyFont="1" applyNumberFormat="1"/>
    <xf borderId="4" fillId="0" fontId="7" numFmtId="9" xfId="0" applyAlignment="1" applyBorder="1" applyFont="1" applyNumberFormat="1">
      <alignment readingOrder="0" vertical="bottom"/>
    </xf>
    <xf borderId="4" fillId="0" fontId="8" numFmtId="0" xfId="0" applyAlignment="1" applyBorder="1" applyFont="1">
      <alignment readingOrder="0" vertical="bottom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Harmony Experiments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Data!$I$4:$I$6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Data!$B$7:$B$25</c:f>
            </c:strRef>
          </c:cat>
          <c:val>
            <c:numRef>
              <c:f>Data!$I$7:$I$25</c:f>
              <c:numCache/>
            </c:numRef>
          </c:val>
          <c:smooth val="1"/>
        </c:ser>
        <c:ser>
          <c:idx val="1"/>
          <c:order val="1"/>
          <c:tx>
            <c:strRef>
              <c:f>Data!$J$4:$J$6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Data!$B$7:$B$25</c:f>
            </c:strRef>
          </c:cat>
          <c:val>
            <c:numRef>
              <c:f>Data!$J$7:$J$25</c:f>
              <c:numCache/>
            </c:numRef>
          </c:val>
          <c:smooth val="1"/>
        </c:ser>
        <c:ser>
          <c:idx val="2"/>
          <c:order val="2"/>
          <c:tx>
            <c:strRef>
              <c:f>Data!$K$4:$K$6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Data!$B$7:$B$25</c:f>
            </c:strRef>
          </c:cat>
          <c:val>
            <c:numRef>
              <c:f>Data!$K$7:$K$25</c:f>
              <c:numCache/>
            </c:numRef>
          </c:val>
          <c:smooth val="1"/>
        </c:ser>
        <c:ser>
          <c:idx val="3"/>
          <c:order val="3"/>
          <c:tx>
            <c:strRef>
              <c:f>Data!$L$4:$L$6</c:f>
            </c:strRef>
          </c:tx>
          <c:spPr>
            <a:ln cmpd="sng" w="38100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Data!$B$7:$B$25</c:f>
            </c:strRef>
          </c:cat>
          <c:val>
            <c:numRef>
              <c:f>Data!$L$7:$L$25</c:f>
              <c:numCache/>
            </c:numRef>
          </c:val>
          <c:smooth val="1"/>
        </c:ser>
        <c:ser>
          <c:idx val="4"/>
          <c:order val="4"/>
          <c:tx>
            <c:strRef>
              <c:f>Data!$M$4:$M$6</c:f>
            </c:strRef>
          </c:tx>
          <c:spPr>
            <a:ln cmpd="sng" w="38100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Data!$B$7:$B$25</c:f>
            </c:strRef>
          </c:cat>
          <c:val>
            <c:numRef>
              <c:f>Data!$M$7:$M$25</c:f>
              <c:numCache/>
            </c:numRef>
          </c:val>
          <c:smooth val="1"/>
        </c:ser>
        <c:ser>
          <c:idx val="5"/>
          <c:order val="5"/>
          <c:tx>
            <c:strRef>
              <c:f>Data!$N$4:$N$6</c:f>
            </c:strRef>
          </c:tx>
          <c:spPr>
            <a:ln cmpd="sng" w="38100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Data!$B$7:$B$25</c:f>
            </c:strRef>
          </c:cat>
          <c:val>
            <c:numRef>
              <c:f>Data!$N$7:$N$25</c:f>
              <c:numCache/>
            </c:numRef>
          </c:val>
          <c:smooth val="1"/>
        </c:ser>
        <c:axId val="930950639"/>
        <c:axId val="1743229902"/>
      </c:radarChart>
      <c:catAx>
        <c:axId val="930950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229902"/>
      </c:catAx>
      <c:valAx>
        <c:axId val="1743229902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950639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Melody Experiments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Data!$O$5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Data!$B$6:$B$25</c:f>
            </c:strRef>
          </c:cat>
          <c:val>
            <c:numRef>
              <c:f>Data!$O$6:$O$25</c:f>
              <c:numCache/>
            </c:numRef>
          </c:val>
          <c:smooth val="1"/>
        </c:ser>
        <c:ser>
          <c:idx val="1"/>
          <c:order val="1"/>
          <c:tx>
            <c:strRef>
              <c:f>Data!$P$5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Data!$B$6:$B$25</c:f>
            </c:strRef>
          </c:cat>
          <c:val>
            <c:numRef>
              <c:f>Data!$P$6:$P$25</c:f>
              <c:numCache/>
            </c:numRef>
          </c:val>
          <c:smooth val="1"/>
        </c:ser>
        <c:ser>
          <c:idx val="2"/>
          <c:order val="2"/>
          <c:tx>
            <c:strRef>
              <c:f>Data!$Q$5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Data!$B$6:$B$25</c:f>
            </c:strRef>
          </c:cat>
          <c:val>
            <c:numRef>
              <c:f>Data!$Q$6:$Q$25</c:f>
              <c:numCache/>
            </c:numRef>
          </c:val>
          <c:smooth val="1"/>
        </c:ser>
        <c:ser>
          <c:idx val="3"/>
          <c:order val="3"/>
          <c:tx>
            <c:strRef>
              <c:f>Data!$R$5</c:f>
            </c:strRef>
          </c:tx>
          <c:spPr>
            <a:ln cmpd="sng" w="38100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Data!$B$6:$B$25</c:f>
            </c:strRef>
          </c:cat>
          <c:val>
            <c:numRef>
              <c:f>Data!$R$6:$R$25</c:f>
              <c:numCache/>
            </c:numRef>
          </c:val>
          <c:smooth val="1"/>
        </c:ser>
        <c:ser>
          <c:idx val="4"/>
          <c:order val="4"/>
          <c:tx>
            <c:strRef>
              <c:f>Data!$S$5</c:f>
            </c:strRef>
          </c:tx>
          <c:spPr>
            <a:ln cmpd="sng" w="38100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Data!$B$6:$B$25</c:f>
            </c:strRef>
          </c:cat>
          <c:val>
            <c:numRef>
              <c:f>Data!$S$6:$S$25</c:f>
              <c:numCache/>
            </c:numRef>
          </c:val>
          <c:smooth val="1"/>
        </c:ser>
        <c:ser>
          <c:idx val="5"/>
          <c:order val="5"/>
          <c:tx>
            <c:strRef>
              <c:f>Data!$T$5</c:f>
            </c:strRef>
          </c:tx>
          <c:spPr>
            <a:ln cmpd="sng" w="38100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Data!$B$6:$B$25</c:f>
            </c:strRef>
          </c:cat>
          <c:val>
            <c:numRef>
              <c:f>Data!$T$6:$T$25</c:f>
              <c:numCache/>
            </c:numRef>
          </c:val>
          <c:smooth val="1"/>
        </c:ser>
        <c:axId val="1721887557"/>
        <c:axId val="1526718275"/>
      </c:radarChart>
      <c:catAx>
        <c:axId val="1721887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718275"/>
      </c:catAx>
      <c:valAx>
        <c:axId val="1526718275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887557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8</xdr:row>
      <xdr:rowOff>104775</xdr:rowOff>
    </xdr:from>
    <xdr:ext cx="6362700" cy="3943350"/>
    <xdr:pic>
      <xdr:nvPicPr>
        <xdr:cNvPr id="130244094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29</xdr:row>
      <xdr:rowOff>66675</xdr:rowOff>
    </xdr:from>
    <xdr:ext cx="6848475" cy="4238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114300</xdr:colOff>
      <xdr:row>52</xdr:row>
      <xdr:rowOff>66675</xdr:rowOff>
    </xdr:from>
    <xdr:ext cx="6848475" cy="4238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3">
      <c r="C3" s="1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>
      <c r="C4" s="4" t="s">
        <v>1</v>
      </c>
      <c r="D4" s="2"/>
      <c r="E4" s="2"/>
      <c r="F4" s="2"/>
      <c r="G4" s="2"/>
      <c r="H4" s="3"/>
      <c r="I4" s="4" t="s">
        <v>2</v>
      </c>
      <c r="J4" s="2"/>
      <c r="K4" s="2"/>
      <c r="L4" s="2"/>
      <c r="M4" s="2"/>
      <c r="N4" s="3"/>
      <c r="O4" s="4" t="s">
        <v>3</v>
      </c>
      <c r="P4" s="2"/>
      <c r="Q4" s="2"/>
      <c r="R4" s="2"/>
      <c r="S4" s="2"/>
      <c r="T4" s="3"/>
      <c r="U4" s="5" t="s">
        <v>1</v>
      </c>
      <c r="V4" s="5" t="s">
        <v>2</v>
      </c>
      <c r="W4" s="5" t="s">
        <v>3</v>
      </c>
    </row>
    <row r="5"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5</v>
      </c>
      <c r="J5" s="7" t="s">
        <v>6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5</v>
      </c>
      <c r="P5" s="7" t="s">
        <v>6</v>
      </c>
      <c r="Q5" s="7" t="s">
        <v>7</v>
      </c>
      <c r="R5" s="7" t="s">
        <v>8</v>
      </c>
      <c r="S5" s="7" t="s">
        <v>9</v>
      </c>
      <c r="T5" s="7" t="s">
        <v>10</v>
      </c>
    </row>
    <row r="6">
      <c r="B6" s="8" t="s">
        <v>11</v>
      </c>
      <c r="C6" s="9">
        <v>0.833333</v>
      </c>
      <c r="D6" s="10">
        <v>0.5</v>
      </c>
      <c r="E6" s="10">
        <v>0.8333</v>
      </c>
      <c r="F6" s="10">
        <v>0.6667</v>
      </c>
      <c r="G6" s="10">
        <v>0.8333</v>
      </c>
      <c r="H6" s="10">
        <v>0.0</v>
      </c>
      <c r="I6" s="10">
        <v>0.1667</v>
      </c>
      <c r="J6" s="10">
        <v>0.3333</v>
      </c>
      <c r="K6" s="10">
        <v>0.3333</v>
      </c>
      <c r="L6" s="10">
        <v>0.5</v>
      </c>
      <c r="M6" s="10">
        <v>0.6667</v>
      </c>
      <c r="N6" s="10">
        <v>0.8333</v>
      </c>
      <c r="O6" s="10">
        <v>0.3333</v>
      </c>
      <c r="P6" s="10">
        <v>0.3333</v>
      </c>
      <c r="Q6" s="10">
        <v>0.3333</v>
      </c>
      <c r="R6" s="10">
        <v>0.6667</v>
      </c>
      <c r="S6" s="10">
        <v>0.8333</v>
      </c>
      <c r="T6" s="10">
        <v>1.0</v>
      </c>
      <c r="U6" s="11">
        <f t="shared" ref="U6:U25" si="1">AVERAGEIF(C6:H6, "&gt;" &amp; MIN(C6:H6))</f>
        <v>0.7333266</v>
      </c>
      <c r="V6" s="11">
        <f t="shared" ref="V6:V25" si="2">iferror(AVERAGEIF(I6:N6, "&gt;" &amp; MIN(I6:N6)), average(I6:N6))</f>
        <v>0.53332</v>
      </c>
      <c r="W6" s="11">
        <f t="shared" ref="W6:W25" si="3">iferror(AVERAGEIF(O6:T6, "&gt;" &amp; MIN(O6:T6)), average(O6:T6))</f>
        <v>0.8333333333</v>
      </c>
    </row>
    <row r="7">
      <c r="B7" s="8" t="s">
        <v>12</v>
      </c>
      <c r="C7" s="12">
        <v>1.0</v>
      </c>
      <c r="D7" s="10">
        <v>0.3333</v>
      </c>
      <c r="E7" s="10">
        <v>0.6667</v>
      </c>
      <c r="F7" s="10">
        <v>0.6667</v>
      </c>
      <c r="G7" s="10">
        <v>0.8333</v>
      </c>
      <c r="H7" s="10">
        <v>0.5</v>
      </c>
      <c r="I7" s="10">
        <v>0.3333</v>
      </c>
      <c r="J7" s="10">
        <v>0.3333</v>
      </c>
      <c r="K7" s="10">
        <v>0.3333</v>
      </c>
      <c r="L7" s="10">
        <v>0.5</v>
      </c>
      <c r="M7" s="10">
        <v>0.8333</v>
      </c>
      <c r="N7" s="10">
        <v>1.0</v>
      </c>
      <c r="O7" s="10">
        <v>0.3333</v>
      </c>
      <c r="P7" s="10">
        <v>0.5</v>
      </c>
      <c r="Q7" s="10">
        <v>0.3333</v>
      </c>
      <c r="R7" s="10">
        <v>0.6667</v>
      </c>
      <c r="S7" s="10">
        <v>0.8333</v>
      </c>
      <c r="T7" s="10">
        <v>1.0</v>
      </c>
      <c r="U7" s="11">
        <f t="shared" si="1"/>
        <v>0.73334</v>
      </c>
      <c r="V7" s="11">
        <f t="shared" si="2"/>
        <v>0.7777666667</v>
      </c>
      <c r="W7" s="11">
        <f t="shared" si="3"/>
        <v>0.75</v>
      </c>
    </row>
    <row r="8">
      <c r="B8" s="8" t="s">
        <v>13</v>
      </c>
      <c r="C8" s="9">
        <v>0.666667</v>
      </c>
      <c r="D8" s="10">
        <v>0.3333</v>
      </c>
      <c r="E8" s="10">
        <v>0.6667</v>
      </c>
      <c r="F8" s="10">
        <v>0.6667</v>
      </c>
      <c r="G8" s="10">
        <v>0.8333</v>
      </c>
      <c r="H8" s="10">
        <v>0.3333</v>
      </c>
      <c r="I8" s="10">
        <v>0.3333</v>
      </c>
      <c r="J8" s="10">
        <v>0.3333</v>
      </c>
      <c r="K8" s="10">
        <v>0.8333</v>
      </c>
      <c r="L8" s="10">
        <v>0.3333</v>
      </c>
      <c r="M8" s="10">
        <v>0.5</v>
      </c>
      <c r="N8" s="10">
        <v>1.0</v>
      </c>
      <c r="O8" s="10">
        <v>0.3333</v>
      </c>
      <c r="P8" s="10">
        <v>0.3333</v>
      </c>
      <c r="Q8" s="10">
        <v>0.3333</v>
      </c>
      <c r="R8" s="10">
        <v>0.6667</v>
      </c>
      <c r="S8" s="10">
        <v>0.8333</v>
      </c>
      <c r="T8" s="10">
        <v>1.0</v>
      </c>
      <c r="U8" s="11">
        <f t="shared" si="1"/>
        <v>0.70834175</v>
      </c>
      <c r="V8" s="11">
        <f t="shared" si="2"/>
        <v>0.7777666667</v>
      </c>
      <c r="W8" s="11">
        <f t="shared" si="3"/>
        <v>0.8333333333</v>
      </c>
    </row>
    <row r="9">
      <c r="B9" s="8" t="s">
        <v>14</v>
      </c>
      <c r="C9" s="9">
        <v>0.833333</v>
      </c>
      <c r="D9" s="10">
        <v>0.1667</v>
      </c>
      <c r="E9" s="10">
        <v>0.6667</v>
      </c>
      <c r="F9" s="10">
        <v>0.6667</v>
      </c>
      <c r="G9" s="10">
        <v>0.6667</v>
      </c>
      <c r="H9" s="10">
        <v>0.5</v>
      </c>
      <c r="I9" s="10">
        <v>0.3333</v>
      </c>
      <c r="J9" s="10">
        <v>0.3333</v>
      </c>
      <c r="K9" s="10">
        <v>0.3333</v>
      </c>
      <c r="L9" s="10">
        <v>0.3333</v>
      </c>
      <c r="M9" s="10">
        <v>0.8333</v>
      </c>
      <c r="N9" s="10">
        <v>1.0</v>
      </c>
      <c r="O9" s="10">
        <v>0.3333</v>
      </c>
      <c r="P9" s="10">
        <v>0.5</v>
      </c>
      <c r="Q9" s="10">
        <v>0.3333</v>
      </c>
      <c r="R9" s="10">
        <v>0.6667</v>
      </c>
      <c r="S9" s="10">
        <v>0.6667</v>
      </c>
      <c r="T9" s="10">
        <v>0.8333</v>
      </c>
      <c r="U9" s="11">
        <f t="shared" si="1"/>
        <v>0.6666866</v>
      </c>
      <c r="V9" s="11">
        <f t="shared" si="2"/>
        <v>0.91665</v>
      </c>
      <c r="W9" s="11">
        <f t="shared" si="3"/>
        <v>0.666675</v>
      </c>
    </row>
    <row r="10">
      <c r="B10" s="8" t="s">
        <v>15</v>
      </c>
      <c r="C10" s="9">
        <v>0.666667</v>
      </c>
      <c r="D10" s="10">
        <v>0.5</v>
      </c>
      <c r="E10" s="10">
        <v>0.5</v>
      </c>
      <c r="F10" s="10">
        <v>0.6667</v>
      </c>
      <c r="G10" s="10">
        <v>0.8333</v>
      </c>
      <c r="H10" s="10">
        <v>0.6667</v>
      </c>
      <c r="I10" s="10">
        <v>0.6667</v>
      </c>
      <c r="J10" s="10">
        <v>0.3333</v>
      </c>
      <c r="K10" s="10">
        <v>0.3333</v>
      </c>
      <c r="L10" s="10">
        <v>0.5</v>
      </c>
      <c r="M10" s="10">
        <v>0.8333</v>
      </c>
      <c r="N10" s="10">
        <v>0.5</v>
      </c>
      <c r="O10" s="10">
        <v>0.3333</v>
      </c>
      <c r="P10" s="10">
        <v>0.5</v>
      </c>
      <c r="Q10" s="10">
        <v>0.8333</v>
      </c>
      <c r="R10" s="10">
        <v>0.6667</v>
      </c>
      <c r="S10" s="10">
        <v>0.8333</v>
      </c>
      <c r="T10" s="10">
        <v>0.6667</v>
      </c>
      <c r="U10" s="11">
        <f t="shared" si="1"/>
        <v>0.70834175</v>
      </c>
      <c r="V10" s="11">
        <f t="shared" si="2"/>
        <v>0.625</v>
      </c>
      <c r="W10" s="11">
        <f t="shared" si="3"/>
        <v>0.7</v>
      </c>
    </row>
    <row r="11">
      <c r="B11" s="8" t="s">
        <v>16</v>
      </c>
      <c r="C11" s="9">
        <v>0.666667</v>
      </c>
      <c r="D11" s="10">
        <v>0.1667</v>
      </c>
      <c r="E11" s="10">
        <v>0.6667</v>
      </c>
      <c r="F11" s="10">
        <v>0.5</v>
      </c>
      <c r="G11" s="10">
        <v>0.8333</v>
      </c>
      <c r="H11" s="10">
        <v>0.5</v>
      </c>
      <c r="I11" s="10">
        <v>1.0</v>
      </c>
      <c r="J11" s="10">
        <v>0.3333</v>
      </c>
      <c r="K11" s="10">
        <v>0.3333</v>
      </c>
      <c r="L11" s="10">
        <v>0.3333</v>
      </c>
      <c r="M11" s="10">
        <v>0.5</v>
      </c>
      <c r="N11" s="10">
        <v>0.8333</v>
      </c>
      <c r="O11" s="10">
        <v>0.3333</v>
      </c>
      <c r="P11" s="10">
        <v>0.5</v>
      </c>
      <c r="Q11" s="10">
        <v>0.5</v>
      </c>
      <c r="R11" s="10">
        <v>0.6667</v>
      </c>
      <c r="S11" s="10">
        <v>0.8333</v>
      </c>
      <c r="T11" s="10">
        <v>1.0</v>
      </c>
      <c r="U11" s="11">
        <f t="shared" si="1"/>
        <v>0.6333334</v>
      </c>
      <c r="V11" s="11">
        <f t="shared" si="2"/>
        <v>0.7777666667</v>
      </c>
      <c r="W11" s="11">
        <f t="shared" si="3"/>
        <v>0.7</v>
      </c>
    </row>
    <row r="12">
      <c r="B12" s="8" t="s">
        <v>17</v>
      </c>
      <c r="C12" s="9">
        <v>0.833333</v>
      </c>
      <c r="D12" s="10">
        <v>0.3333</v>
      </c>
      <c r="E12" s="10">
        <v>0.5</v>
      </c>
      <c r="F12" s="10">
        <v>0.6667</v>
      </c>
      <c r="G12" s="10">
        <v>0.8333</v>
      </c>
      <c r="H12" s="10">
        <v>0.6667</v>
      </c>
      <c r="I12" s="10">
        <v>0.1667</v>
      </c>
      <c r="J12" s="10">
        <v>0.3333</v>
      </c>
      <c r="K12" s="10">
        <v>1.0</v>
      </c>
      <c r="L12" s="10">
        <v>0.3333</v>
      </c>
      <c r="M12" s="10">
        <v>1.0</v>
      </c>
      <c r="N12" s="10">
        <v>0.8333</v>
      </c>
      <c r="O12" s="10">
        <v>0.3333</v>
      </c>
      <c r="P12" s="10">
        <v>0.5</v>
      </c>
      <c r="Q12" s="10">
        <v>0.3333</v>
      </c>
      <c r="R12" s="10">
        <v>0.6667</v>
      </c>
      <c r="S12" s="10">
        <v>0.8333</v>
      </c>
      <c r="T12" s="10">
        <v>1.0</v>
      </c>
      <c r="U12" s="11">
        <f t="shared" si="1"/>
        <v>0.7000066</v>
      </c>
      <c r="V12" s="11">
        <f t="shared" si="2"/>
        <v>0.69998</v>
      </c>
      <c r="W12" s="11">
        <f t="shared" si="3"/>
        <v>0.75</v>
      </c>
    </row>
    <row r="13">
      <c r="B13" s="8" t="s">
        <v>18</v>
      </c>
      <c r="C13" s="9">
        <v>0.833333</v>
      </c>
      <c r="D13" s="10">
        <v>0.6667</v>
      </c>
      <c r="E13" s="10">
        <v>0.5</v>
      </c>
      <c r="F13" s="10">
        <v>0.6667</v>
      </c>
      <c r="G13" s="10">
        <v>0.8333</v>
      </c>
      <c r="H13" s="10">
        <v>0.5</v>
      </c>
      <c r="I13" s="10">
        <v>0.1667</v>
      </c>
      <c r="J13" s="10">
        <v>0.3333</v>
      </c>
      <c r="K13" s="10">
        <v>1.0</v>
      </c>
      <c r="L13" s="10">
        <v>0.5</v>
      </c>
      <c r="M13" s="10">
        <v>0.5</v>
      </c>
      <c r="N13" s="10">
        <v>1.0</v>
      </c>
      <c r="O13" s="10">
        <v>0.1667</v>
      </c>
      <c r="P13" s="10">
        <v>0.5</v>
      </c>
      <c r="Q13" s="10">
        <v>0.3333</v>
      </c>
      <c r="R13" s="10">
        <v>0.6667</v>
      </c>
      <c r="S13" s="10">
        <v>0.8333</v>
      </c>
      <c r="T13" s="10">
        <v>1.0</v>
      </c>
      <c r="U13" s="11">
        <f t="shared" si="1"/>
        <v>0.75000825</v>
      </c>
      <c r="V13" s="11">
        <f t="shared" si="2"/>
        <v>0.66666</v>
      </c>
      <c r="W13" s="11">
        <f t="shared" si="3"/>
        <v>0.66666</v>
      </c>
    </row>
    <row r="14">
      <c r="B14" s="8" t="s">
        <v>19</v>
      </c>
      <c r="C14" s="9">
        <v>0.833333</v>
      </c>
      <c r="D14" s="10">
        <v>0.3333</v>
      </c>
      <c r="E14" s="10">
        <v>0.8333</v>
      </c>
      <c r="F14" s="10">
        <v>0.6667</v>
      </c>
      <c r="G14" s="10">
        <v>0.8333</v>
      </c>
      <c r="H14" s="10">
        <v>0.5</v>
      </c>
      <c r="I14" s="10">
        <v>0.5</v>
      </c>
      <c r="J14" s="10">
        <v>0.3333</v>
      </c>
      <c r="K14" s="10">
        <v>0.3333</v>
      </c>
      <c r="L14" s="10">
        <v>0.5</v>
      </c>
      <c r="M14" s="10">
        <v>0.3333</v>
      </c>
      <c r="N14" s="10">
        <v>1.0</v>
      </c>
      <c r="O14" s="10">
        <v>0.3333</v>
      </c>
      <c r="P14" s="10">
        <v>0.5</v>
      </c>
      <c r="Q14" s="10">
        <v>0.5</v>
      </c>
      <c r="R14" s="10">
        <v>0.6667</v>
      </c>
      <c r="S14" s="10">
        <v>0.8333</v>
      </c>
      <c r="T14" s="10">
        <v>1.0</v>
      </c>
      <c r="U14" s="11">
        <f t="shared" si="1"/>
        <v>0.7333266</v>
      </c>
      <c r="V14" s="11">
        <f t="shared" si="2"/>
        <v>0.6666666667</v>
      </c>
      <c r="W14" s="11">
        <f t="shared" si="3"/>
        <v>0.7</v>
      </c>
    </row>
    <row r="15">
      <c r="B15" s="8" t="s">
        <v>20</v>
      </c>
      <c r="C15" s="9">
        <v>0.833333</v>
      </c>
      <c r="D15" s="10">
        <v>0.3333</v>
      </c>
      <c r="E15" s="10">
        <v>0.6667</v>
      </c>
      <c r="F15" s="10">
        <v>0.5</v>
      </c>
      <c r="G15" s="10">
        <v>0.8333</v>
      </c>
      <c r="H15" s="10">
        <v>0.6667</v>
      </c>
      <c r="I15" s="10">
        <v>0.3333</v>
      </c>
      <c r="J15" s="10">
        <v>0.3333</v>
      </c>
      <c r="K15" s="10">
        <v>0.3333</v>
      </c>
      <c r="L15" s="10">
        <v>0.5</v>
      </c>
      <c r="M15" s="10">
        <v>0.6667</v>
      </c>
      <c r="N15" s="10">
        <v>1.0</v>
      </c>
      <c r="O15" s="10">
        <v>0.1667</v>
      </c>
      <c r="P15" s="10">
        <v>0.5</v>
      </c>
      <c r="Q15" s="10">
        <v>0.3333</v>
      </c>
      <c r="R15" s="10">
        <v>0.6667</v>
      </c>
      <c r="S15" s="10">
        <v>0.8333</v>
      </c>
      <c r="T15" s="10">
        <v>1.0</v>
      </c>
      <c r="U15" s="11">
        <f t="shared" si="1"/>
        <v>0.7000066</v>
      </c>
      <c r="V15" s="11">
        <f t="shared" si="2"/>
        <v>0.7222333333</v>
      </c>
      <c r="W15" s="11">
        <f t="shared" si="3"/>
        <v>0.66666</v>
      </c>
    </row>
    <row r="16">
      <c r="B16" s="8" t="s">
        <v>21</v>
      </c>
      <c r="C16" s="9">
        <v>0.666667</v>
      </c>
      <c r="D16" s="10">
        <v>0.3333</v>
      </c>
      <c r="E16" s="10">
        <v>0.6667</v>
      </c>
      <c r="F16" s="10">
        <v>0.6667</v>
      </c>
      <c r="G16" s="10">
        <v>0.8333</v>
      </c>
      <c r="H16" s="10">
        <v>0.5</v>
      </c>
      <c r="I16" s="10">
        <v>0.3333</v>
      </c>
      <c r="J16" s="10">
        <v>0.3333</v>
      </c>
      <c r="K16" s="10">
        <v>0.3333</v>
      </c>
      <c r="L16" s="10">
        <v>0.5</v>
      </c>
      <c r="M16" s="10">
        <v>0.8333</v>
      </c>
      <c r="N16" s="10">
        <v>1.0</v>
      </c>
      <c r="O16" s="10">
        <v>0.3333</v>
      </c>
      <c r="P16" s="10">
        <v>0.5</v>
      </c>
      <c r="Q16" s="10">
        <v>0.3333</v>
      </c>
      <c r="R16" s="10">
        <v>0.6667</v>
      </c>
      <c r="S16" s="10">
        <v>0.8333</v>
      </c>
      <c r="T16" s="10">
        <v>0.8333</v>
      </c>
      <c r="U16" s="11">
        <f t="shared" si="1"/>
        <v>0.6666734</v>
      </c>
      <c r="V16" s="11">
        <f t="shared" si="2"/>
        <v>0.7777666667</v>
      </c>
      <c r="W16" s="11">
        <f t="shared" si="3"/>
        <v>0.708325</v>
      </c>
    </row>
    <row r="17">
      <c r="B17" s="8" t="s">
        <v>22</v>
      </c>
      <c r="C17" s="9">
        <v>0.666667</v>
      </c>
      <c r="D17" s="10">
        <v>0.3333</v>
      </c>
      <c r="E17" s="10">
        <v>0.6667</v>
      </c>
      <c r="F17" s="10">
        <v>0.6667</v>
      </c>
      <c r="G17" s="10">
        <v>0.8333</v>
      </c>
      <c r="H17" s="10">
        <v>0.5</v>
      </c>
      <c r="I17" s="10">
        <v>0.3333</v>
      </c>
      <c r="J17" s="10">
        <v>0.3333</v>
      </c>
      <c r="K17" s="10">
        <v>1.0</v>
      </c>
      <c r="L17" s="10">
        <v>0.3333</v>
      </c>
      <c r="M17" s="10">
        <v>0.8333</v>
      </c>
      <c r="N17" s="10">
        <v>1.0</v>
      </c>
      <c r="O17" s="10">
        <v>0.3333</v>
      </c>
      <c r="P17" s="10">
        <v>0.5</v>
      </c>
      <c r="Q17" s="10">
        <v>0.3333</v>
      </c>
      <c r="R17" s="10">
        <v>0.6667</v>
      </c>
      <c r="S17" s="10">
        <v>0.8333</v>
      </c>
      <c r="T17" s="10">
        <v>1.0</v>
      </c>
      <c r="U17" s="11">
        <f t="shared" si="1"/>
        <v>0.6666734</v>
      </c>
      <c r="V17" s="11">
        <f t="shared" si="2"/>
        <v>0.9444333333</v>
      </c>
      <c r="W17" s="11">
        <f t="shared" si="3"/>
        <v>0.75</v>
      </c>
    </row>
    <row r="18">
      <c r="B18" s="8" t="s">
        <v>23</v>
      </c>
      <c r="C18" s="9">
        <v>0.833333</v>
      </c>
      <c r="D18" s="10">
        <v>0.3333</v>
      </c>
      <c r="E18" s="10">
        <v>0.6667</v>
      </c>
      <c r="F18" s="10">
        <v>0.6667</v>
      </c>
      <c r="G18" s="10">
        <v>0.6667</v>
      </c>
      <c r="H18" s="10">
        <v>0.5</v>
      </c>
      <c r="I18" s="10">
        <v>0.3333</v>
      </c>
      <c r="J18" s="10">
        <v>0.0</v>
      </c>
      <c r="K18" s="10">
        <v>0.8333</v>
      </c>
      <c r="L18" s="10">
        <v>0.5</v>
      </c>
      <c r="M18" s="10">
        <v>0.5</v>
      </c>
      <c r="N18" s="10">
        <v>1.0</v>
      </c>
      <c r="O18" s="10">
        <v>0.1667</v>
      </c>
      <c r="P18" s="10">
        <v>0.5</v>
      </c>
      <c r="Q18" s="10">
        <v>0.3333</v>
      </c>
      <c r="R18" s="10">
        <v>0.6667</v>
      </c>
      <c r="S18" s="10">
        <v>0.6667</v>
      </c>
      <c r="T18" s="10">
        <v>0.8333</v>
      </c>
      <c r="U18" s="11">
        <f t="shared" si="1"/>
        <v>0.6666866</v>
      </c>
      <c r="V18" s="11">
        <f t="shared" si="2"/>
        <v>0.63332</v>
      </c>
      <c r="W18" s="11">
        <f t="shared" si="3"/>
        <v>0.6</v>
      </c>
    </row>
    <row r="19">
      <c r="B19" s="8" t="s">
        <v>24</v>
      </c>
      <c r="C19" s="9">
        <v>0.833333</v>
      </c>
      <c r="D19" s="10">
        <v>0.3333</v>
      </c>
      <c r="E19" s="10">
        <v>0.6667</v>
      </c>
      <c r="F19" s="10">
        <v>0.5</v>
      </c>
      <c r="G19" s="10">
        <v>0.8333</v>
      </c>
      <c r="H19" s="10">
        <v>0.5</v>
      </c>
      <c r="I19" s="10">
        <v>0.3333</v>
      </c>
      <c r="J19" s="10">
        <v>0.3333</v>
      </c>
      <c r="K19" s="10">
        <v>0.8333</v>
      </c>
      <c r="L19" s="10">
        <v>0.3333</v>
      </c>
      <c r="M19" s="10">
        <v>0.5</v>
      </c>
      <c r="N19" s="10">
        <v>1.0</v>
      </c>
      <c r="O19" s="10">
        <v>0.3333</v>
      </c>
      <c r="P19" s="10">
        <v>0.6667</v>
      </c>
      <c r="Q19" s="10">
        <v>0.5</v>
      </c>
      <c r="R19" s="10">
        <v>0.6667</v>
      </c>
      <c r="S19" s="10">
        <v>0.8333</v>
      </c>
      <c r="T19" s="10">
        <v>1.0</v>
      </c>
      <c r="U19" s="11">
        <f t="shared" si="1"/>
        <v>0.6666666</v>
      </c>
      <c r="V19" s="11">
        <f t="shared" si="2"/>
        <v>0.7777666667</v>
      </c>
      <c r="W19" s="11">
        <f t="shared" si="3"/>
        <v>0.73334</v>
      </c>
    </row>
    <row r="20">
      <c r="B20" s="13" t="s">
        <v>25</v>
      </c>
      <c r="C20" s="9">
        <v>0.833333</v>
      </c>
      <c r="D20" s="10">
        <v>0.3333</v>
      </c>
      <c r="E20" s="10">
        <v>0.5</v>
      </c>
      <c r="F20" s="10">
        <v>0.6667</v>
      </c>
      <c r="G20" s="10">
        <v>0.8333</v>
      </c>
      <c r="H20" s="10">
        <v>0.5</v>
      </c>
      <c r="I20" s="10">
        <v>0.5</v>
      </c>
      <c r="J20" s="10">
        <v>0.3333</v>
      </c>
      <c r="K20" s="10">
        <v>0.3333</v>
      </c>
      <c r="L20" s="10">
        <v>0.5</v>
      </c>
      <c r="M20" s="10">
        <v>0.8333</v>
      </c>
      <c r="N20" s="10">
        <v>1.0</v>
      </c>
      <c r="O20" s="10">
        <v>0.3333</v>
      </c>
      <c r="P20" s="10">
        <v>0.5</v>
      </c>
      <c r="Q20" s="10">
        <v>0.3333</v>
      </c>
      <c r="R20" s="10">
        <v>0.6667</v>
      </c>
      <c r="S20" s="10">
        <v>0.8333</v>
      </c>
      <c r="T20" s="10">
        <v>1.0</v>
      </c>
      <c r="U20" s="11">
        <f t="shared" si="1"/>
        <v>0.6666666</v>
      </c>
      <c r="V20" s="11">
        <f t="shared" si="2"/>
        <v>0.708325</v>
      </c>
      <c r="W20" s="11">
        <f t="shared" si="3"/>
        <v>0.75</v>
      </c>
    </row>
    <row r="21">
      <c r="B21" s="8" t="s">
        <v>26</v>
      </c>
      <c r="C21" s="9">
        <v>0.833333</v>
      </c>
      <c r="D21" s="10">
        <v>0.3333</v>
      </c>
      <c r="E21" s="10">
        <v>0.6667</v>
      </c>
      <c r="F21" s="10">
        <v>0.5</v>
      </c>
      <c r="G21" s="10">
        <v>0.8333</v>
      </c>
      <c r="H21" s="10">
        <v>0.5</v>
      </c>
      <c r="I21" s="10">
        <v>0.3333</v>
      </c>
      <c r="J21" s="10">
        <v>0.3333</v>
      </c>
      <c r="K21" s="10">
        <v>0.6667</v>
      </c>
      <c r="L21" s="10">
        <v>0.1667</v>
      </c>
      <c r="M21" s="10">
        <v>0.5</v>
      </c>
      <c r="N21" s="10">
        <v>0.8333</v>
      </c>
      <c r="O21" s="10">
        <v>0.3333</v>
      </c>
      <c r="P21" s="10">
        <v>0.3333</v>
      </c>
      <c r="Q21" s="10">
        <v>0.5</v>
      </c>
      <c r="R21" s="10">
        <v>0.6667</v>
      </c>
      <c r="S21" s="10">
        <v>0.6667</v>
      </c>
      <c r="T21" s="10">
        <v>1.0</v>
      </c>
      <c r="U21" s="11">
        <f t="shared" si="1"/>
        <v>0.6666666</v>
      </c>
      <c r="V21" s="11">
        <f t="shared" si="2"/>
        <v>0.53332</v>
      </c>
      <c r="W21" s="11">
        <f t="shared" si="3"/>
        <v>0.70835</v>
      </c>
    </row>
    <row r="22">
      <c r="B22" s="8" t="s">
        <v>27</v>
      </c>
      <c r="C22" s="9">
        <v>0.833333</v>
      </c>
      <c r="D22" s="10">
        <v>0.5</v>
      </c>
      <c r="E22" s="10">
        <v>0.5</v>
      </c>
      <c r="F22" s="10">
        <v>0.5</v>
      </c>
      <c r="G22" s="10">
        <v>0.8333</v>
      </c>
      <c r="H22" s="10">
        <v>0.5</v>
      </c>
      <c r="I22" s="10">
        <v>0.3333</v>
      </c>
      <c r="J22" s="10">
        <v>0.3333</v>
      </c>
      <c r="K22" s="10">
        <v>1.0</v>
      </c>
      <c r="L22" s="10">
        <v>0.6667</v>
      </c>
      <c r="M22" s="10">
        <v>0.5</v>
      </c>
      <c r="N22" s="10">
        <v>1.0</v>
      </c>
      <c r="O22" s="10">
        <v>0.3333</v>
      </c>
      <c r="P22" s="10">
        <v>0.5</v>
      </c>
      <c r="Q22" s="10">
        <v>0.6667</v>
      </c>
      <c r="R22" s="10">
        <v>0.6667</v>
      </c>
      <c r="S22" s="10">
        <v>0.8333</v>
      </c>
      <c r="T22" s="10">
        <v>0.6667</v>
      </c>
      <c r="U22" s="11">
        <f t="shared" si="1"/>
        <v>0.8333165</v>
      </c>
      <c r="V22" s="11">
        <f t="shared" si="2"/>
        <v>0.791675</v>
      </c>
      <c r="W22" s="11">
        <f t="shared" si="3"/>
        <v>0.66668</v>
      </c>
    </row>
    <row r="23">
      <c r="B23" s="8" t="s">
        <v>28</v>
      </c>
      <c r="C23" s="9">
        <v>0.833333</v>
      </c>
      <c r="D23" s="10">
        <v>0.3333</v>
      </c>
      <c r="E23" s="10">
        <v>0.8333</v>
      </c>
      <c r="F23" s="10">
        <v>0.5</v>
      </c>
      <c r="G23" s="10">
        <v>0.5</v>
      </c>
      <c r="H23" s="10">
        <v>0.5</v>
      </c>
      <c r="I23" s="10">
        <v>0.5</v>
      </c>
      <c r="J23" s="10">
        <v>0.3333</v>
      </c>
      <c r="K23" s="10">
        <v>0.6667</v>
      </c>
      <c r="L23" s="10">
        <v>0.6667</v>
      </c>
      <c r="M23" s="10">
        <v>0.5</v>
      </c>
      <c r="N23" s="10">
        <v>0.8333</v>
      </c>
      <c r="O23" s="10">
        <v>0.3333</v>
      </c>
      <c r="P23" s="10">
        <v>0.6667</v>
      </c>
      <c r="Q23" s="10">
        <v>0.3333</v>
      </c>
      <c r="R23" s="10">
        <v>0.6667</v>
      </c>
      <c r="S23" s="10">
        <v>0.5</v>
      </c>
      <c r="T23" s="10">
        <v>1.0</v>
      </c>
      <c r="U23" s="11">
        <f t="shared" si="1"/>
        <v>0.6333266</v>
      </c>
      <c r="V23" s="11">
        <f t="shared" si="2"/>
        <v>0.63334</v>
      </c>
      <c r="W23" s="11">
        <f t="shared" si="3"/>
        <v>0.70835</v>
      </c>
    </row>
    <row r="24">
      <c r="B24" s="8" t="s">
        <v>29</v>
      </c>
      <c r="C24" s="9">
        <v>0.833333</v>
      </c>
      <c r="D24" s="10">
        <v>0.3333</v>
      </c>
      <c r="E24" s="10">
        <v>0.5</v>
      </c>
      <c r="F24" s="10">
        <v>0.6667</v>
      </c>
      <c r="G24" s="10">
        <v>0.8333</v>
      </c>
      <c r="H24" s="10">
        <v>0.5</v>
      </c>
      <c r="I24" s="10">
        <v>0.3333</v>
      </c>
      <c r="J24" s="10">
        <v>0.3333</v>
      </c>
      <c r="K24" s="10">
        <v>1.0</v>
      </c>
      <c r="L24" s="10">
        <v>0.5</v>
      </c>
      <c r="M24" s="10">
        <v>0.6667</v>
      </c>
      <c r="N24" s="10">
        <v>1.0</v>
      </c>
      <c r="O24" s="10">
        <v>0.3333</v>
      </c>
      <c r="P24" s="10">
        <v>0.3333</v>
      </c>
      <c r="Q24" s="10">
        <v>0.3333</v>
      </c>
      <c r="R24" s="10">
        <v>0.6667</v>
      </c>
      <c r="S24" s="10">
        <v>0.8333</v>
      </c>
      <c r="T24" s="10">
        <v>1.0</v>
      </c>
      <c r="U24" s="11">
        <f t="shared" si="1"/>
        <v>0.6666666</v>
      </c>
      <c r="V24" s="11">
        <f t="shared" si="2"/>
        <v>0.791675</v>
      </c>
      <c r="W24" s="11">
        <f t="shared" si="3"/>
        <v>0.8333333333</v>
      </c>
    </row>
    <row r="25">
      <c r="B25" s="8" t="s">
        <v>30</v>
      </c>
      <c r="C25" s="9">
        <v>0.833333</v>
      </c>
      <c r="D25" s="10">
        <v>0.3333</v>
      </c>
      <c r="E25" s="10">
        <v>0.6667</v>
      </c>
      <c r="F25" s="10">
        <v>0.6667</v>
      </c>
      <c r="G25" s="10">
        <v>0.8333</v>
      </c>
      <c r="H25" s="10">
        <v>0.5</v>
      </c>
      <c r="I25" s="10">
        <v>0.5</v>
      </c>
      <c r="J25" s="10">
        <v>0.3333</v>
      </c>
      <c r="K25" s="10">
        <v>0.5</v>
      </c>
      <c r="L25" s="10">
        <v>0.5</v>
      </c>
      <c r="M25" s="10">
        <v>0.6667</v>
      </c>
      <c r="N25" s="10">
        <v>1.0</v>
      </c>
      <c r="O25" s="10">
        <v>0.3333</v>
      </c>
      <c r="P25" s="10">
        <v>0.5</v>
      </c>
      <c r="Q25" s="10">
        <v>0.3333</v>
      </c>
      <c r="R25" s="10">
        <v>0.6667</v>
      </c>
      <c r="S25" s="10">
        <v>0.8333</v>
      </c>
      <c r="T25" s="10">
        <v>0.6667</v>
      </c>
      <c r="U25" s="11">
        <f t="shared" si="1"/>
        <v>0.7000066</v>
      </c>
      <c r="V25" s="11">
        <f t="shared" si="2"/>
        <v>0.63334</v>
      </c>
      <c r="W25" s="11">
        <f t="shared" si="3"/>
        <v>0.666675</v>
      </c>
    </row>
    <row r="27">
      <c r="C27" s="5" t="s">
        <v>31</v>
      </c>
      <c r="U27" s="11">
        <f t="shared" ref="U27:W27" si="4">PERCENTILE(U5:U25, 0.7)</f>
        <v>0.70834175</v>
      </c>
      <c r="V27" s="11">
        <f t="shared" si="4"/>
        <v>0.7777666667</v>
      </c>
      <c r="W27" s="11">
        <f t="shared" si="4"/>
        <v>0.75</v>
      </c>
      <c r="Y27" s="11">
        <f>AVERAGE(U27:W27)</f>
        <v>0.7453694722</v>
      </c>
    </row>
  </sheetData>
  <autoFilter ref="$B$3:$W$25"/>
  <mergeCells count="4">
    <mergeCell ref="C3:T3"/>
    <mergeCell ref="C4:H4"/>
    <mergeCell ref="I4:N4"/>
    <mergeCell ref="O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</row>
    <row r="23">
      <c r="K23" s="15"/>
    </row>
    <row r="24">
      <c r="K24" s="15"/>
    </row>
    <row r="26">
      <c r="K26" s="5" t="s">
        <v>32</v>
      </c>
    </row>
  </sheetData>
  <drawing r:id="rId1"/>
</worksheet>
</file>